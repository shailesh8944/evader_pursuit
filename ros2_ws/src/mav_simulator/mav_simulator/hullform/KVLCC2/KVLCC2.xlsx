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Academics\Research\Github\makara\ros2_ws\src\mav_simulator\mav_simulator\hullform\KVLCC2\"/>
    </mc:Choice>
  </mc:AlternateContent>
  <xr:revisionPtr revIDLastSave="0" documentId="13_ncr:1_{2347ECE0-CDA1-4B57-9523-8977F50E05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Maxsurf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4" i="1" l="1"/>
  <c r="I13" i="1"/>
  <c r="C16" i="1"/>
  <c r="C17" i="1" s="1"/>
  <c r="H6" i="1"/>
  <c r="M13" i="1" s="1"/>
  <c r="H12" i="1"/>
  <c r="C31" i="2"/>
  <c r="H3" i="1" s="1"/>
  <c r="M18" i="1" l="1"/>
  <c r="I18" i="1" s="1"/>
  <c r="N13" i="1"/>
  <c r="L12" i="1"/>
  <c r="L17" i="1" s="1"/>
  <c r="H17" i="1" s="1"/>
  <c r="M12" i="1"/>
  <c r="N12" i="1"/>
  <c r="N14" i="1"/>
  <c r="N19" i="1" s="1"/>
  <c r="J19" i="1" s="1"/>
  <c r="M14" i="1" l="1"/>
  <c r="M19" i="1" s="1"/>
  <c r="I19" i="1" s="1"/>
  <c r="N18" i="1"/>
  <c r="J18" i="1" s="1"/>
  <c r="N17" i="1"/>
  <c r="J17" i="1" s="1"/>
  <c r="L14" i="1"/>
  <c r="L19" i="1" s="1"/>
  <c r="H19" i="1" s="1"/>
  <c r="M17" i="1"/>
  <c r="I17" i="1" s="1"/>
  <c r="L13" i="1"/>
  <c r="L18" i="1" s="1"/>
  <c r="H18" i="1" s="1"/>
</calcChain>
</file>

<file path=xl/sharedStrings.xml><?xml version="1.0" encoding="utf-8"?>
<sst xmlns="http://schemas.openxmlformats.org/spreadsheetml/2006/main" count="107" uniqueCount="84">
  <si>
    <t>Displacement</t>
  </si>
  <si>
    <t>tonne</t>
  </si>
  <si>
    <t>Volume</t>
  </si>
  <si>
    <t>m^3</t>
  </si>
  <si>
    <t>Draft to Baseline</t>
  </si>
  <si>
    <t>m</t>
  </si>
  <si>
    <t>Immersed depth</t>
  </si>
  <si>
    <t>Lwl</t>
  </si>
  <si>
    <t>Beam wl</t>
  </si>
  <si>
    <t>WSA</t>
  </si>
  <si>
    <t>m^2</t>
  </si>
  <si>
    <t>Max cross sect area</t>
  </si>
  <si>
    <t>Waterplane area</t>
  </si>
  <si>
    <t>Cp</t>
  </si>
  <si>
    <t>Cb</t>
  </si>
  <si>
    <t>Cm</t>
  </si>
  <si>
    <t>Cwp</t>
  </si>
  <si>
    <t>LCB from zero pt. (+ve fwd) m</t>
  </si>
  <si>
    <t>LCF from zero pt. (+ve fwd) m</t>
  </si>
  <si>
    <t>LCB from zero pt. (+ve fwd) % Lwl</t>
  </si>
  <si>
    <t>%</t>
  </si>
  <si>
    <t>LCF from zero pt. (+ve fwd) % Lwl</t>
  </si>
  <si>
    <t>KB</t>
  </si>
  <si>
    <t>KG</t>
  </si>
  <si>
    <t>BMt</t>
  </si>
  <si>
    <t>BMl</t>
  </si>
  <si>
    <t>GMt</t>
  </si>
  <si>
    <t>GMl</t>
  </si>
  <si>
    <t>KMt</t>
  </si>
  <si>
    <t>KMl</t>
  </si>
  <si>
    <t>Immersion (TPc)</t>
  </si>
  <si>
    <t>tonne/cm</t>
  </si>
  <si>
    <t>MTc</t>
  </si>
  <si>
    <t>tonne.m</t>
  </si>
  <si>
    <t>RM at 1deg = GMt.Disp.sin(1)</t>
  </si>
  <si>
    <t>Precision</t>
  </si>
  <si>
    <t>Medium</t>
  </si>
  <si>
    <t>50 stations</t>
  </si>
  <si>
    <t>VCG</t>
  </si>
  <si>
    <t>Tested at</t>
  </si>
  <si>
    <t>Scale</t>
  </si>
  <si>
    <t>Main particulars</t>
  </si>
  <si>
    <t>Lpp (m)</t>
  </si>
  <si>
    <t>Lwl (m)</t>
  </si>
  <si>
    <t>Bwl (m)</t>
  </si>
  <si>
    <t>D (m)</t>
  </si>
  <si>
    <t>T (m)</t>
  </si>
  <si>
    <t>Displacement (m3)</t>
  </si>
  <si>
    <t>S w/o rudder (m2)</t>
  </si>
  <si>
    <t>CB</t>
  </si>
  <si>
    <t>CM</t>
  </si>
  <si>
    <t>LCB (%), fwd+</t>
  </si>
  <si>
    <t>Rudder (x 2)</t>
  </si>
  <si>
    <t>Type</t>
  </si>
  <si>
    <t>S of rudder (m2)</t>
  </si>
  <si>
    <t>Lat. area (m2)</t>
  </si>
  <si>
    <t>Turn rate (deg/s)</t>
  </si>
  <si>
    <t>Propeller</t>
  </si>
  <si>
    <t>FP</t>
  </si>
  <si>
    <t>No. of blades</t>
  </si>
  <si>
    <t>P/D (0.7R)</t>
  </si>
  <si>
    <t>Ae/A0</t>
  </si>
  <si>
    <t>Rotation</t>
  </si>
  <si>
    <t>Hub ratio</t>
  </si>
  <si>
    <t>Appendages</t>
  </si>
  <si>
    <t>Bilge keels</t>
  </si>
  <si>
    <t>None</t>
  </si>
  <si>
    <t>Test conditions</t>
  </si>
  <si>
    <t>LCG (m)</t>
  </si>
  <si>
    <t>GM (m)</t>
  </si>
  <si>
    <t>ixx/B</t>
  </si>
  <si>
    <t>izz/Lpp</t>
  </si>
  <si>
    <t>Full Scale</t>
  </si>
  <si>
    <t>Froude Number</t>
  </si>
  <si>
    <t>Speed (m/s)</t>
  </si>
  <si>
    <t>Radii of Gyration (about CoG)</t>
  </si>
  <si>
    <t>XPRDCT about MS-WL-CL</t>
  </si>
  <si>
    <t>VCG (from MS-WL-CL)</t>
  </si>
  <si>
    <t>LCG (from MS-WL-CL)</t>
  </si>
  <si>
    <t>TCG (from MS-WL-CL)</t>
  </si>
  <si>
    <t>Parallel Moment of Inertia</t>
  </si>
  <si>
    <t>horn</t>
  </si>
  <si>
    <t>Right hand</t>
  </si>
  <si>
    <t>Speed (knots)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</si>
</sst>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41"/>
  <sheetViews>
    <sheetView tabSelected="1" workbookViewId="0">
      <selection activeCell="G28" sqref="G28"/>
    </sheetView>
  </sheetViews>
  <sheetFormatPr defaultRowHeight="15" x14ac:dyDescent="0.25"/>
  <cols>
    <col min="2" max="2" width="18" bestFit="1" customWidth="1"/>
    <col min="3" max="3" width="9.140625" bestFit="1" customWidth="1"/>
    <col min="4" max="4" width="8.85546875" bestFit="1" customWidth="1"/>
    <col min="5" max="5" width="10.28515625" bestFit="1" customWidth="1"/>
  </cols>
  <sheetData>
    <row r="2" spans="2:14" x14ac:dyDescent="0.25">
      <c r="B2" t="s">
        <v>39</v>
      </c>
      <c r="C2" t="s">
        <v>72</v>
      </c>
      <c r="H2" t="s">
        <v>77</v>
      </c>
    </row>
    <row r="3" spans="2:14" x14ac:dyDescent="0.25">
      <c r="B3" t="s">
        <v>40</v>
      </c>
      <c r="C3">
        <v>1</v>
      </c>
      <c r="H3">
        <f>Maxsurf!C31</f>
        <v>-2.1999999999999993</v>
      </c>
      <c r="I3" t="s">
        <v>5</v>
      </c>
    </row>
    <row r="4" spans="2:14" x14ac:dyDescent="0.25">
      <c r="B4" t="s">
        <v>41</v>
      </c>
    </row>
    <row r="5" spans="2:14" x14ac:dyDescent="0.25">
      <c r="B5" t="s">
        <v>42</v>
      </c>
      <c r="C5">
        <v>320</v>
      </c>
      <c r="H5" t="s">
        <v>78</v>
      </c>
    </row>
    <row r="6" spans="2:14" x14ac:dyDescent="0.25">
      <c r="B6" t="s">
        <v>43</v>
      </c>
      <c r="C6">
        <v>325.5</v>
      </c>
      <c r="H6">
        <f>Maxsurf!C15</f>
        <v>11.157999999999999</v>
      </c>
      <c r="I6" t="s">
        <v>5</v>
      </c>
    </row>
    <row r="7" spans="2:14" x14ac:dyDescent="0.25">
      <c r="B7" t="s">
        <v>44</v>
      </c>
      <c r="C7">
        <v>58</v>
      </c>
    </row>
    <row r="8" spans="2:14" x14ac:dyDescent="0.25">
      <c r="B8" t="s">
        <v>45</v>
      </c>
      <c r="C8">
        <v>30</v>
      </c>
      <c r="H8" t="s">
        <v>79</v>
      </c>
    </row>
    <row r="9" spans="2:14" x14ac:dyDescent="0.25">
      <c r="B9" t="s">
        <v>46</v>
      </c>
      <c r="C9">
        <v>20.8</v>
      </c>
      <c r="H9">
        <v>0</v>
      </c>
      <c r="I9" t="s">
        <v>5</v>
      </c>
    </row>
    <row r="10" spans="2:14" x14ac:dyDescent="0.25">
      <c r="B10" t="s">
        <v>47</v>
      </c>
      <c r="C10">
        <v>312622</v>
      </c>
    </row>
    <row r="11" spans="2:14" x14ac:dyDescent="0.25">
      <c r="B11" t="s">
        <v>48</v>
      </c>
      <c r="C11">
        <v>27194</v>
      </c>
      <c r="H11" t="s">
        <v>75</v>
      </c>
      <c r="L11" t="s">
        <v>80</v>
      </c>
    </row>
    <row r="12" spans="2:14" x14ac:dyDescent="0.25">
      <c r="B12" t="s">
        <v>49</v>
      </c>
      <c r="C12">
        <v>0.80979999999999996</v>
      </c>
      <c r="H12">
        <f>C40*C7</f>
        <v>23.200000000000003</v>
      </c>
      <c r="I12">
        <v>0</v>
      </c>
      <c r="J12">
        <v>0</v>
      </c>
      <c r="L12">
        <f>(H9^2+H3^2)</f>
        <v>4.8399999999999972</v>
      </c>
      <c r="M12">
        <f>-H6*H9</f>
        <v>0</v>
      </c>
      <c r="N12">
        <f>-H6*H3</f>
        <v>24.547599999999992</v>
      </c>
    </row>
    <row r="13" spans="2:14" x14ac:dyDescent="0.25">
      <c r="B13" t="s">
        <v>50</v>
      </c>
      <c r="C13">
        <v>0.998</v>
      </c>
      <c r="H13">
        <v>0</v>
      </c>
      <c r="I13">
        <f>C41*C5</f>
        <v>80</v>
      </c>
      <c r="J13">
        <v>0</v>
      </c>
      <c r="L13">
        <f>M12</f>
        <v>0</v>
      </c>
      <c r="M13">
        <f>SQRT(H6^2+H3^2)</f>
        <v>11.372816889407829</v>
      </c>
      <c r="N13">
        <f>-H3*H9</f>
        <v>0</v>
      </c>
    </row>
    <row r="14" spans="2:14" x14ac:dyDescent="0.25">
      <c r="B14" t="s">
        <v>51</v>
      </c>
      <c r="C14">
        <v>3.48</v>
      </c>
      <c r="H14">
        <v>0</v>
      </c>
      <c r="I14">
        <v>0</v>
      </c>
      <c r="J14">
        <f>C41*C5</f>
        <v>80</v>
      </c>
      <c r="L14">
        <f>N12</f>
        <v>24.547599999999992</v>
      </c>
      <c r="M14">
        <f>N13</f>
        <v>0</v>
      </c>
      <c r="N14">
        <f>SQRT(H6^2+H9^2)</f>
        <v>11.157999999999999</v>
      </c>
    </row>
    <row r="15" spans="2:14" x14ac:dyDescent="0.25">
      <c r="B15" t="s">
        <v>73</v>
      </c>
      <c r="C15">
        <v>0.14199999999999999</v>
      </c>
    </row>
    <row r="16" spans="2:14" x14ac:dyDescent="0.25">
      <c r="B16" t="s">
        <v>74</v>
      </c>
      <c r="C16" s="1">
        <f>C15*SQRT(C5*9.80665)</f>
        <v>7.9546975424587947</v>
      </c>
      <c r="D16" s="1"/>
      <c r="E16" s="1"/>
      <c r="H16" t="s">
        <v>76</v>
      </c>
    </row>
    <row r="17" spans="2:14" x14ac:dyDescent="0.25">
      <c r="B17" t="s">
        <v>83</v>
      </c>
      <c r="C17">
        <f>C16/0.514444</f>
        <v>15.462708365650672</v>
      </c>
      <c r="H17" s="2">
        <f t="shared" ref="H17:J19" si="0">SIGN(L17)*SQRT(ABS(L17))</f>
        <v>23.304076896543236</v>
      </c>
      <c r="I17" s="2">
        <f t="shared" si="0"/>
        <v>0</v>
      </c>
      <c r="J17" s="2">
        <f t="shared" si="0"/>
        <v>4.9545534612112112</v>
      </c>
      <c r="L17">
        <f t="shared" ref="L17:N19" si="1">H12^2 + L12</f>
        <v>543.08000000000015</v>
      </c>
      <c r="M17">
        <f t="shared" si="1"/>
        <v>0</v>
      </c>
      <c r="N17">
        <f t="shared" si="1"/>
        <v>24.547599999999992</v>
      </c>
    </row>
    <row r="18" spans="2:14" x14ac:dyDescent="0.25">
      <c r="H18" s="2">
        <f t="shared" si="0"/>
        <v>0</v>
      </c>
      <c r="I18" s="2">
        <f t="shared" si="0"/>
        <v>80.071048556200438</v>
      </c>
      <c r="J18" s="2">
        <f t="shared" si="0"/>
        <v>0</v>
      </c>
      <c r="L18">
        <f t="shared" si="1"/>
        <v>0</v>
      </c>
      <c r="M18">
        <f t="shared" si="1"/>
        <v>6411.3728168894077</v>
      </c>
      <c r="N18">
        <f t="shared" si="1"/>
        <v>0</v>
      </c>
    </row>
    <row r="19" spans="2:14" x14ac:dyDescent="0.25">
      <c r="B19" t="s">
        <v>52</v>
      </c>
      <c r="H19" s="2">
        <f t="shared" si="0"/>
        <v>4.9545534612112112</v>
      </c>
      <c r="I19" s="2">
        <f t="shared" si="0"/>
        <v>0</v>
      </c>
      <c r="J19" s="2">
        <f t="shared" si="0"/>
        <v>80.069707130724538</v>
      </c>
      <c r="L19">
        <f t="shared" si="1"/>
        <v>24.547599999999992</v>
      </c>
      <c r="M19">
        <f t="shared" si="1"/>
        <v>0</v>
      </c>
      <c r="N19">
        <f t="shared" si="1"/>
        <v>6411.1580000000004</v>
      </c>
    </row>
    <row r="20" spans="2:14" x14ac:dyDescent="0.25">
      <c r="B20" t="s">
        <v>53</v>
      </c>
      <c r="C20" t="s">
        <v>81</v>
      </c>
    </row>
    <row r="21" spans="2:14" x14ac:dyDescent="0.25">
      <c r="B21" t="s">
        <v>54</v>
      </c>
      <c r="C21">
        <v>273.3</v>
      </c>
    </row>
    <row r="22" spans="2:14" x14ac:dyDescent="0.25">
      <c r="B22" t="s">
        <v>55</v>
      </c>
      <c r="C22">
        <v>136.69999999999999</v>
      </c>
    </row>
    <row r="23" spans="2:14" x14ac:dyDescent="0.25">
      <c r="B23" t="s">
        <v>56</v>
      </c>
      <c r="C23">
        <v>2.3199999999999998</v>
      </c>
    </row>
    <row r="25" spans="2:14" x14ac:dyDescent="0.25">
      <c r="B25" t="s">
        <v>57</v>
      </c>
    </row>
    <row r="26" spans="2:14" x14ac:dyDescent="0.25">
      <c r="B26" t="s">
        <v>53</v>
      </c>
      <c r="C26" t="s">
        <v>58</v>
      </c>
    </row>
    <row r="27" spans="2:14" x14ac:dyDescent="0.25">
      <c r="B27" t="s">
        <v>59</v>
      </c>
      <c r="C27">
        <v>4</v>
      </c>
    </row>
    <row r="28" spans="2:14" x14ac:dyDescent="0.25">
      <c r="B28" t="s">
        <v>45</v>
      </c>
      <c r="C28">
        <v>9.86</v>
      </c>
    </row>
    <row r="29" spans="2:14" x14ac:dyDescent="0.25">
      <c r="B29" t="s">
        <v>60</v>
      </c>
      <c r="C29">
        <v>0.72099999999999997</v>
      </c>
    </row>
    <row r="30" spans="2:14" x14ac:dyDescent="0.25">
      <c r="B30" t="s">
        <v>61</v>
      </c>
      <c r="C30">
        <v>0.43099999999999999</v>
      </c>
    </row>
    <row r="31" spans="2:14" x14ac:dyDescent="0.25">
      <c r="B31" t="s">
        <v>62</v>
      </c>
      <c r="C31" t="s">
        <v>82</v>
      </c>
    </row>
    <row r="32" spans="2:14" x14ac:dyDescent="0.25">
      <c r="B32" t="s">
        <v>63</v>
      </c>
      <c r="C32">
        <v>0.155</v>
      </c>
    </row>
    <row r="34" spans="2:3" x14ac:dyDescent="0.25">
      <c r="B34" t="s">
        <v>64</v>
      </c>
    </row>
    <row r="35" spans="2:3" x14ac:dyDescent="0.25">
      <c r="B35" t="s">
        <v>65</v>
      </c>
      <c r="C35" t="s">
        <v>66</v>
      </c>
    </row>
    <row r="37" spans="2:3" x14ac:dyDescent="0.25">
      <c r="B37" t="s">
        <v>67</v>
      </c>
    </row>
    <row r="38" spans="2:3" x14ac:dyDescent="0.25">
      <c r="B38" t="s">
        <v>68</v>
      </c>
      <c r="C38">
        <v>171.1</v>
      </c>
    </row>
    <row r="39" spans="2:3" x14ac:dyDescent="0.25">
      <c r="B39" t="s">
        <v>69</v>
      </c>
      <c r="C39">
        <v>5.71</v>
      </c>
    </row>
    <row r="40" spans="2:3" x14ac:dyDescent="0.25">
      <c r="B40" t="s">
        <v>70</v>
      </c>
      <c r="C40">
        <v>0.4</v>
      </c>
    </row>
    <row r="41" spans="2:3" x14ac:dyDescent="0.25">
      <c r="B41" t="s">
        <v>71</v>
      </c>
      <c r="C41">
        <v>0.25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B7259-20F3-470C-A902-FA1E2D789035}">
  <dimension ref="B2:D31"/>
  <sheetViews>
    <sheetView workbookViewId="0">
      <selection activeCell="C23" sqref="C23"/>
    </sheetView>
  </sheetViews>
  <sheetFormatPr defaultRowHeight="15" x14ac:dyDescent="0.25"/>
  <cols>
    <col min="2" max="2" width="27.42578125" bestFit="1" customWidth="1"/>
    <col min="3" max="3" width="11" bestFit="1" customWidth="1"/>
  </cols>
  <sheetData>
    <row r="2" spans="2:4" x14ac:dyDescent="0.25">
      <c r="B2" t="s">
        <v>0</v>
      </c>
      <c r="C2">
        <v>320184.14299999998</v>
      </c>
      <c r="D2" t="s">
        <v>1</v>
      </c>
    </row>
    <row r="3" spans="2:4" x14ac:dyDescent="0.25">
      <c r="B3" t="s">
        <v>2</v>
      </c>
      <c r="C3">
        <v>312374.77399999998</v>
      </c>
      <c r="D3" t="s">
        <v>3</v>
      </c>
    </row>
    <row r="4" spans="2:4" x14ac:dyDescent="0.25">
      <c r="B4" t="s">
        <v>4</v>
      </c>
      <c r="C4">
        <v>20.8</v>
      </c>
      <c r="D4" t="s">
        <v>5</v>
      </c>
    </row>
    <row r="5" spans="2:4" x14ac:dyDescent="0.25">
      <c r="B5" t="s">
        <v>6</v>
      </c>
      <c r="C5">
        <v>20.899000000000001</v>
      </c>
      <c r="D5" t="s">
        <v>5</v>
      </c>
    </row>
    <row r="6" spans="2:4" x14ac:dyDescent="0.25">
      <c r="B6" t="s">
        <v>7</v>
      </c>
      <c r="C6">
        <v>325.50099999999998</v>
      </c>
      <c r="D6" t="s">
        <v>5</v>
      </c>
    </row>
    <row r="7" spans="2:4" x14ac:dyDescent="0.25">
      <c r="B7" t="s">
        <v>8</v>
      </c>
      <c r="C7">
        <v>58.100999999999999</v>
      </c>
      <c r="D7" t="s">
        <v>5</v>
      </c>
    </row>
    <row r="8" spans="2:4" x14ac:dyDescent="0.25">
      <c r="B8" t="s">
        <v>9</v>
      </c>
      <c r="C8">
        <v>27683.268</v>
      </c>
      <c r="D8" t="s">
        <v>10</v>
      </c>
    </row>
    <row r="9" spans="2:4" x14ac:dyDescent="0.25">
      <c r="B9" t="s">
        <v>11</v>
      </c>
      <c r="C9">
        <v>1204.682</v>
      </c>
      <c r="D9" t="s">
        <v>10</v>
      </c>
    </row>
    <row r="10" spans="2:4" x14ac:dyDescent="0.25">
      <c r="B10" t="s">
        <v>12</v>
      </c>
      <c r="C10">
        <v>16728.419999999998</v>
      </c>
      <c r="D10" t="s">
        <v>10</v>
      </c>
    </row>
    <row r="11" spans="2:4" x14ac:dyDescent="0.25">
      <c r="B11" t="s">
        <v>13</v>
      </c>
      <c r="C11">
        <v>0.79700000000000004</v>
      </c>
    </row>
    <row r="12" spans="2:4" x14ac:dyDescent="0.25">
      <c r="B12" t="s">
        <v>14</v>
      </c>
      <c r="C12">
        <v>0.79</v>
      </c>
    </row>
    <row r="13" spans="2:4" x14ac:dyDescent="0.25">
      <c r="B13" t="s">
        <v>15</v>
      </c>
      <c r="C13">
        <v>0.99299999999999999</v>
      </c>
    </row>
    <row r="14" spans="2:4" x14ac:dyDescent="0.25">
      <c r="B14" t="s">
        <v>16</v>
      </c>
      <c r="C14">
        <v>0.88500000000000001</v>
      </c>
    </row>
    <row r="15" spans="2:4" x14ac:dyDescent="0.25">
      <c r="B15" t="s">
        <v>17</v>
      </c>
      <c r="C15">
        <v>11.157999999999999</v>
      </c>
      <c r="D15" t="s">
        <v>5</v>
      </c>
    </row>
    <row r="16" spans="2:4" x14ac:dyDescent="0.25">
      <c r="B16" t="s">
        <v>18</v>
      </c>
      <c r="C16">
        <v>0.14599999999999999</v>
      </c>
      <c r="D16" t="s">
        <v>5</v>
      </c>
    </row>
    <row r="17" spans="2:4" x14ac:dyDescent="0.25">
      <c r="B17" t="s">
        <v>19</v>
      </c>
      <c r="C17">
        <v>3.4279999999999999</v>
      </c>
      <c r="D17" t="s">
        <v>20</v>
      </c>
    </row>
    <row r="18" spans="2:4" x14ac:dyDescent="0.25">
      <c r="B18" t="s">
        <v>21</v>
      </c>
      <c r="C18">
        <v>4.4999999999999998E-2</v>
      </c>
      <c r="D18" t="s">
        <v>20</v>
      </c>
    </row>
    <row r="19" spans="2:4" x14ac:dyDescent="0.25">
      <c r="B19" t="s">
        <v>22</v>
      </c>
      <c r="C19">
        <v>10.877000000000001</v>
      </c>
      <c r="D19" t="s">
        <v>5</v>
      </c>
    </row>
    <row r="20" spans="2:4" x14ac:dyDescent="0.25">
      <c r="B20" t="s">
        <v>23</v>
      </c>
      <c r="C20">
        <v>18.600000000000001</v>
      </c>
      <c r="D20" t="s">
        <v>5</v>
      </c>
    </row>
    <row r="21" spans="2:4" x14ac:dyDescent="0.25">
      <c r="B21" t="s">
        <v>24</v>
      </c>
      <c r="C21">
        <v>13.432</v>
      </c>
      <c r="D21" t="s">
        <v>5</v>
      </c>
    </row>
    <row r="22" spans="2:4" x14ac:dyDescent="0.25">
      <c r="B22" t="s">
        <v>25</v>
      </c>
      <c r="C22">
        <v>387.62700000000001</v>
      </c>
      <c r="D22" t="s">
        <v>5</v>
      </c>
    </row>
    <row r="23" spans="2:4" x14ac:dyDescent="0.25">
      <c r="B23" t="s">
        <v>26</v>
      </c>
      <c r="C23">
        <v>5.7089999999999996</v>
      </c>
      <c r="D23" t="s">
        <v>5</v>
      </c>
    </row>
    <row r="24" spans="2:4" x14ac:dyDescent="0.25">
      <c r="B24" t="s">
        <v>27</v>
      </c>
      <c r="C24">
        <v>379.90300000000002</v>
      </c>
      <c r="D24" t="s">
        <v>5</v>
      </c>
    </row>
    <row r="25" spans="2:4" x14ac:dyDescent="0.25">
      <c r="B25" t="s">
        <v>28</v>
      </c>
      <c r="C25">
        <v>24.309000000000001</v>
      </c>
      <c r="D25" t="s">
        <v>5</v>
      </c>
    </row>
    <row r="26" spans="2:4" x14ac:dyDescent="0.25">
      <c r="B26" t="s">
        <v>29</v>
      </c>
      <c r="C26">
        <v>398.50299999999999</v>
      </c>
      <c r="D26" t="s">
        <v>5</v>
      </c>
    </row>
    <row r="27" spans="2:4" x14ac:dyDescent="0.25">
      <c r="B27" t="s">
        <v>30</v>
      </c>
      <c r="C27">
        <v>171.46600000000001</v>
      </c>
      <c r="D27" t="s">
        <v>31</v>
      </c>
    </row>
    <row r="28" spans="2:4" x14ac:dyDescent="0.25">
      <c r="B28" t="s">
        <v>32</v>
      </c>
      <c r="C28">
        <v>3801.221</v>
      </c>
      <c r="D28" t="s">
        <v>33</v>
      </c>
    </row>
    <row r="29" spans="2:4" x14ac:dyDescent="0.25">
      <c r="B29" t="s">
        <v>34</v>
      </c>
      <c r="C29">
        <v>31901.069</v>
      </c>
      <c r="D29" t="s">
        <v>33</v>
      </c>
    </row>
    <row r="30" spans="2:4" x14ac:dyDescent="0.25">
      <c r="B30" t="s">
        <v>35</v>
      </c>
      <c r="C30" t="s">
        <v>36</v>
      </c>
      <c r="D30" t="s">
        <v>37</v>
      </c>
    </row>
    <row r="31" spans="2:4" x14ac:dyDescent="0.25">
      <c r="B31" t="s">
        <v>38</v>
      </c>
      <c r="C31">
        <f>C21+C19-C23-C4</f>
        <v>-2.1999999999999993</v>
      </c>
      <c r="D3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Maxsurf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 Somayajula</dc:creator>
  <cp:lastModifiedBy>Abhilash Somayajula</cp:lastModifiedBy>
  <dcterms:created xsi:type="dcterms:W3CDTF">2015-06-05T18:17:20Z</dcterms:created>
  <dcterms:modified xsi:type="dcterms:W3CDTF">2024-09-15T02:47:32Z</dcterms:modified>
</cp:coreProperties>
</file>